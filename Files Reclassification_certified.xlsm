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lkmkd\Documents\VBA Code\"/>
    </mc:Choice>
  </mc:AlternateContent>
  <xr:revisionPtr revIDLastSave="0" documentId="13_ncr:1_{ACEF406E-269E-48C8-B889-4CD1EC863EBB}" xr6:coauthVersionLast="47" xr6:coauthVersionMax="47" xr10:uidLastSave="{00000000-0000-0000-0000-000000000000}"/>
  <bookViews>
    <workbookView xWindow="-28910" yWindow="-110" windowWidth="29020" windowHeight="15700" firstSheet="1" activeTab="1" xr2:uid="{AFAFC3E3-3610-4F90-BF54-15FC3EB7980A}"/>
  </bookViews>
  <sheets>
    <sheet name="Classification" sheetId="1" state="hidden" r:id="rId1"/>
    <sheet name="FolderPath" sheetId="2" r:id="rId2"/>
    <sheet name="FilesToBeClassified" sheetId="3" r:id="rId3"/>
  </sheets>
  <definedNames>
    <definedName name="temppath">FolderPath!$C$27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3" l="1" a="1"/>
  <c r="P2" i="3" s="1"/>
  <c r="L2" i="3"/>
  <c r="O9" i="1" a="1"/>
  <c r="O9" i="1" s="1"/>
  <c r="N9" i="1" a="1"/>
  <c r="N9" i="1" s="1"/>
  <c r="M9" i="1" a="1"/>
  <c r="M9" i="1" s="1"/>
  <c r="L9" i="1" a="1"/>
  <c r="L9" i="1" s="1"/>
  <c r="K9" i="1" a="1"/>
  <c r="K9" i="1" s="1"/>
  <c r="J9" i="1" a="1"/>
  <c r="J9" i="1" s="1"/>
  <c r="J8" i="1" a="1"/>
  <c r="J8" i="1" s="1"/>
  <c r="G2" i="1" l="1" a="1"/>
  <c r="G2" i="1" s="1"/>
  <c r="F2" i="1" a="1"/>
  <c r="F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tc={429B1FFF-A189-4A5F-B945-295AED1AA13F}</author>
  </authors>
  <commentList>
    <comment ref="C27" authorId="0" shapeId="0" xr:uid="{429B1FFF-A189-4A5F-B945-295AED1AA13F}">
      <text>
        <t>[Threaded comment]
Your version of Excel allows you to read this threaded comment; however, any edits to it will get removed if the file is opened in a newer version of Excel. Learn more: https://go.microsoft.com/fwlink/?linkid=870924
Comment:
    Please change to your document folder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<sst xmlns="http://schemas.openxmlformats.org/spreadsheetml/2006/main" count="108" uniqueCount="99">
  <si>
    <t>Classification</t>
  </si>
  <si>
    <t>Label</t>
  </si>
  <si>
    <t>ID</t>
  </si>
  <si>
    <t>Confidential</t>
  </si>
  <si>
    <t>Non Sensitive_1</t>
  </si>
  <si>
    <t>4f288355-fb4c-44cd-b9ca-40cfc2aee5f8</t>
  </si>
  <si>
    <t>Sensitive Normal_0</t>
  </si>
  <si>
    <t>9f35b700-5a77-4728-a47b-13ed8ab07ba4</t>
  </si>
  <si>
    <t>Sensitive High_0</t>
  </si>
  <si>
    <t>bb7bb1b7-f1f8-44bc-8626-ac3f7950ddcb</t>
  </si>
  <si>
    <t>Confidential (Cloud-Eligible)</t>
  </si>
  <si>
    <t>Non Sensitive_3</t>
  </si>
  <si>
    <t>0cdb6729-b45c-4a11-ac47-f8584fc7ec0a</t>
  </si>
  <si>
    <t>Sensitive High_3</t>
  </si>
  <si>
    <t>8b393779-7a9e-4c5c-a9eb-1cf7cd3fa8f3</t>
  </si>
  <si>
    <t>Sensitive Normal_3</t>
  </si>
  <si>
    <t>c477f0d0-1a40-415d-b130-8b40a41c8c21</t>
  </si>
  <si>
    <t>Official (Closed)</t>
  </si>
  <si>
    <t>Non Sensitive</t>
  </si>
  <si>
    <t>4aaa7e78-45b1-4890-b8a3-003d1d728a3e</t>
  </si>
  <si>
    <t>Sensitive Normal_1</t>
  </si>
  <si>
    <t>770f46e1-5fba-47ae-991f-a0785d9c0dac</t>
  </si>
  <si>
    <t>Sensitive High_1</t>
  </si>
  <si>
    <t>a8737adb-0c79-46a2-8440-0996bc024fec</t>
  </si>
  <si>
    <t>Official (Open)</t>
  </si>
  <si>
    <t>5434c4c7-833e-41e4-b0ab-cdb227a2f6f7</t>
  </si>
  <si>
    <t>Restricted</t>
  </si>
  <si>
    <t>Sensitive Normal</t>
  </si>
  <si>
    <t>153db910-0838-4c35-bb3a-1ee21aa199ac</t>
  </si>
  <si>
    <t>Non Sensitive_0</t>
  </si>
  <si>
    <t>54803508-8490-4252-b331-d9b72689e942</t>
  </si>
  <si>
    <t>Sensitive High</t>
  </si>
  <si>
    <t>9c789c2b-f6c5-4645-8d26-38c740fa1736</t>
  </si>
  <si>
    <t>No MSIP label found</t>
  </si>
  <si>
    <t>Folder Path</t>
  </si>
  <si>
    <t>iNex Site</t>
  </si>
  <si>
    <t>GivenUrl</t>
  </si>
  <si>
    <t>FileName</t>
  </si>
  <si>
    <t>IsLableled</t>
  </si>
  <si>
    <t>MainLabel</t>
  </si>
  <si>
    <t>SubLabelName</t>
  </si>
  <si>
    <t>FileSize</t>
  </si>
  <si>
    <t>Owner</t>
  </si>
  <si>
    <t>IsUnreadable</t>
  </si>
  <si>
    <t>Remarks</t>
  </si>
  <si>
    <t>Ownership</t>
  </si>
  <si>
    <t>Owners</t>
  </si>
  <si>
    <t>MappedNetworkURL</t>
  </si>
  <si>
    <t>Yes</t>
  </si>
  <si>
    <t>New MainLabel</t>
  </si>
  <si>
    <t>New SubLabelName</t>
  </si>
  <si>
    <t>New LabelID</t>
  </si>
  <si>
    <t>Location to temporarily store the temp files</t>
  </si>
  <si>
    <t>C:\Users\inlkmkd\Documents\</t>
  </si>
  <si>
    <t>Action</t>
  </si>
  <si>
    <t>delete</t>
  </si>
  <si>
    <t>reclassify</t>
  </si>
  <si>
    <t>Action Done?</t>
  </si>
  <si>
    <t xml:space="preserve">To obtain the folder path, right click on the folder and copy folder path. </t>
  </si>
  <si>
    <t>T:\</t>
  </si>
  <si>
    <t>Purpose of this file</t>
  </si>
  <si>
    <r>
      <t xml:space="preserve">This VBA tool is designed to help process Microsoft Office files (Word, Excel, PowerPoint) that have been assigned a classification label. It </t>
    </r>
    <r>
      <rPr>
        <b/>
        <i/>
        <sz val="11"/>
        <color theme="1"/>
        <rFont val="Aptos Narrow"/>
        <family val="2"/>
        <scheme val="minor"/>
      </rPr>
      <t>updates or reclassifies the existing labels</t>
    </r>
    <r>
      <rPr>
        <i/>
        <sz val="11"/>
        <color theme="1"/>
        <rFont val="Aptos Narrow"/>
        <family val="2"/>
        <scheme val="minor"/>
      </rPr>
      <t xml:space="preserve"> according to the indicated classification by users. </t>
    </r>
  </si>
  <si>
    <t>Close any Office files you are currently working on to avoid conflicts.</t>
  </si>
  <si>
    <t>Things to Note</t>
  </si>
  <si>
    <r>
      <t xml:space="preserve">This tool only works on </t>
    </r>
    <r>
      <rPr>
        <b/>
        <sz val="11"/>
        <color theme="1"/>
        <rFont val="Aptos Narrow"/>
        <family val="2"/>
        <scheme val="minor"/>
      </rPr>
      <t>Microsoft Office files</t>
    </r>
    <r>
      <rPr>
        <sz val="11"/>
        <color theme="1"/>
        <rFont val="Aptos Narrow"/>
        <family val="2"/>
        <scheme val="minor"/>
      </rPr>
      <t xml:space="preserve"> (Word, Excel, PowerPoint).</t>
    </r>
  </si>
  <si>
    <r>
      <t xml:space="preserve">The tool </t>
    </r>
    <r>
      <rPr>
        <b/>
        <sz val="11"/>
        <color theme="1"/>
        <rFont val="Aptos Narrow"/>
        <family val="2"/>
        <scheme val="minor"/>
      </rPr>
      <t>does not modify the file content</t>
    </r>
    <r>
      <rPr>
        <sz val="11"/>
        <color theme="1"/>
        <rFont val="Aptos Narrow"/>
        <family val="2"/>
        <scheme val="minor"/>
      </rPr>
      <t>, only the classification labels.</t>
    </r>
  </si>
  <si>
    <r>
      <t xml:space="preserve">The VBA updates classification labels by </t>
    </r>
    <r>
      <rPr>
        <b/>
        <sz val="11"/>
        <color theme="1"/>
        <rFont val="Aptos Narrow"/>
        <family val="2"/>
        <scheme val="minor"/>
      </rPr>
      <t>re-uploading the file</t>
    </r>
    <r>
      <rPr>
        <sz val="11"/>
        <color theme="1"/>
        <rFont val="Aptos Narrow"/>
        <family val="2"/>
        <scheme val="minor"/>
      </rPr>
      <t xml:space="preserve">. If </t>
    </r>
    <r>
      <rPr>
        <b/>
        <sz val="11"/>
        <color theme="1"/>
        <rFont val="Aptos Narrow"/>
        <family val="2"/>
        <scheme val="minor"/>
      </rPr>
      <t>version history is important</t>
    </r>
    <r>
      <rPr>
        <sz val="11"/>
        <color theme="1"/>
        <rFont val="Aptos Narrow"/>
        <family val="2"/>
        <scheme val="minor"/>
      </rPr>
      <t>, avoid using this tool for reclassification, as it may overwrite previous versions.</t>
    </r>
  </si>
  <si>
    <t>How to run this file</t>
  </si>
  <si>
    <t>2. Ensure the network drive is connected - the logo should be green instead of a red cross.</t>
  </si>
  <si>
    <t>Instructions of how to map network drive</t>
  </si>
  <si>
    <r>
      <t xml:space="preserve">1. Obtain the site URL ie </t>
    </r>
    <r>
      <rPr>
        <i/>
        <sz val="11"/>
        <color theme="1"/>
        <rFont val="Aptos Narrow"/>
        <family val="2"/>
        <scheme val="minor"/>
      </rPr>
      <t>https://inex3.iras.gov.sg/sites/inex3knowledgehub/</t>
    </r>
  </si>
  <si>
    <r>
      <t>2. In File Explorer, right click on the</t>
    </r>
    <r>
      <rPr>
        <b/>
        <sz val="11"/>
        <color theme="1"/>
        <rFont val="Aptos Narrow"/>
        <family val="2"/>
        <scheme val="minor"/>
      </rPr>
      <t xml:space="preserve"> Network</t>
    </r>
    <r>
      <rPr>
        <sz val="11"/>
        <color theme="1"/>
        <rFont val="Aptos Narrow"/>
        <family val="2"/>
        <scheme val="minor"/>
      </rPr>
      <t xml:space="preserve"> in the left panel and select "</t>
    </r>
    <r>
      <rPr>
        <b/>
        <sz val="11"/>
        <color theme="1"/>
        <rFont val="Aptos Narrow"/>
        <family val="2"/>
        <scheme val="minor"/>
      </rPr>
      <t>Map network drive…</t>
    </r>
    <r>
      <rPr>
        <sz val="11"/>
        <color theme="1"/>
        <rFont val="Aptos Narrow"/>
        <family val="2"/>
        <scheme val="minor"/>
      </rPr>
      <t>"</t>
    </r>
  </si>
  <si>
    <t xml:space="preserve">3. In the pop-up, input the site URL in the Folder Field. </t>
  </si>
  <si>
    <t xml:space="preserve">4. Click on Finish to map the network drive. </t>
  </si>
  <si>
    <t>3. In the table below, enter the Network Drive path (e.g., R:\) in the Folder Path column, and the corresponding iNex site URL in the iNex Site column.</t>
  </si>
  <si>
    <t xml:space="preserve"> You can add new rows to include additional Network Drive as needed. </t>
  </si>
  <si>
    <t>4. Update the Location in the yellow highlighted cell below to store temporarily processing files (you can use your document folder or create a folder to store these files</t>
  </si>
  <si>
    <t xml:space="preserve">1. Make sure the sites that your files are in is mapped to a network drive in your machine. </t>
  </si>
  <si>
    <t xml:space="preserve">5. Input the list of files that needs to be processed in the table under "FilesToBeClassified" tab. </t>
  </si>
  <si>
    <r>
      <t>Table format is based on INFOD's classification report. DO NOT leave the "</t>
    </r>
    <r>
      <rPr>
        <b/>
        <i/>
        <sz val="11"/>
        <color theme="1"/>
        <rFont val="Aptos Narrow"/>
        <family val="2"/>
        <scheme val="minor"/>
      </rPr>
      <t>GivenURL</t>
    </r>
    <r>
      <rPr>
        <i/>
        <sz val="11"/>
        <color theme="1"/>
        <rFont val="Aptos Narrow"/>
        <family val="2"/>
        <scheme val="minor"/>
      </rPr>
      <t>" and "</t>
    </r>
    <r>
      <rPr>
        <b/>
        <i/>
        <sz val="11"/>
        <color theme="1"/>
        <rFont val="Aptos Narrow"/>
        <family val="2"/>
        <scheme val="minor"/>
      </rPr>
      <t>FileName</t>
    </r>
    <r>
      <rPr>
        <i/>
        <sz val="11"/>
        <color theme="1"/>
        <rFont val="Aptos Narrow"/>
        <family val="2"/>
        <scheme val="minor"/>
      </rPr>
      <t xml:space="preserve">" column blank. </t>
    </r>
  </si>
  <si>
    <t xml:space="preserve">6. Update the actions to be done in Column M,N,O (highlighted in purple). </t>
  </si>
  <si>
    <t xml:space="preserve">5. Click on the button below to reclassify the files based in "FilesToBeClassified" tab. </t>
  </si>
  <si>
    <t>Action delete; You can find the file in the Recycle Bin after processing</t>
  </si>
  <si>
    <t>Action reclassify; To update the New MainLabel and then New SubLabelName. (if you change the New MainLabel after inputting in a value, please re-input the New SubLabelName field via the drop down.)</t>
  </si>
  <si>
    <t>Pop Ups</t>
  </si>
  <si>
    <t>Why and What should you do?</t>
  </si>
  <si>
    <t>6. Potential Scenarios Encountered during Reclassification</t>
  </si>
  <si>
    <t>7. A pop-up message “Processing completed.” will appear when the macro finishes.</t>
  </si>
  <si>
    <r>
      <t xml:space="preserve">Always </t>
    </r>
    <r>
      <rPr>
        <b/>
        <sz val="11"/>
        <color theme="1"/>
        <rFont val="Aptos Narrow"/>
        <family val="2"/>
        <scheme val="minor"/>
      </rPr>
      <t>backup important files</t>
    </r>
    <r>
      <rPr>
        <sz val="11"/>
        <color theme="1"/>
        <rFont val="Aptos Narrow"/>
        <family val="2"/>
        <scheme val="minor"/>
      </rPr>
      <t xml:space="preserve"> before running the reclassification. </t>
    </r>
  </si>
  <si>
    <r>
      <t xml:space="preserve">Error Pop-Up - </t>
    </r>
    <r>
      <rPr>
        <i/>
        <sz val="11"/>
        <color theme="1"/>
        <rFont val="Aptos Narrow"/>
        <family val="2"/>
        <scheme val="minor"/>
      </rPr>
      <t>Run time error '52': File not found</t>
    </r>
  </si>
  <si>
    <r>
      <t xml:space="preserve">The file is not found - you might not have access to the file.
Check your access for the site and the files after clicking on "End" in the pop-up. 
After checking; 
</t>
    </r>
    <r>
      <rPr>
        <b/>
        <sz val="11"/>
        <color theme="1"/>
        <rFont val="Aptos Narrow"/>
        <family val="2"/>
        <scheme val="minor"/>
      </rPr>
      <t xml:space="preserve">1. Permission has been given to you after </t>
    </r>
    <r>
      <rPr>
        <sz val="11"/>
        <color theme="1"/>
        <rFont val="Aptos Narrow"/>
        <family val="2"/>
        <scheme val="minor"/>
      </rPr>
      <t xml:space="preserve">- Re-run the file by clicking the button above. It will continue to process the files that has not been processed. 
</t>
    </r>
    <r>
      <rPr>
        <b/>
        <sz val="11"/>
        <color theme="1"/>
        <rFont val="Aptos Narrow"/>
        <family val="2"/>
        <scheme val="minor"/>
      </rPr>
      <t>2. Files to be reclassified by someone else ie you still do not have access to the file</t>
    </r>
    <r>
      <rPr>
        <sz val="11"/>
        <color theme="1"/>
        <rFont val="Aptos Narrow"/>
        <family val="2"/>
        <scheme val="minor"/>
      </rPr>
      <t xml:space="preserve"> - Delete the file from the "FilesToBeClassified" tab and re-run the file by clicking on the button again. </t>
    </r>
  </si>
  <si>
    <t>Error Pop-Up - Sorry, we couldn’t find xxx file.</t>
  </si>
  <si>
    <t xml:space="preserve">The file is not found – the file could have been deleted.
Click on “Ok” to skip the file processing and continue on with the VBA. </t>
  </si>
  <si>
    <t>Pop-up Windows for credentials</t>
  </si>
  <si>
    <t>Key in your IRAS credentials as per how you log in to iNex. 
If the pop-up window hang, you can left it as it is. The file is still processing back end.</t>
  </si>
  <si>
    <t>File is not reclassified after running the VBA</t>
  </si>
  <si>
    <t xml:space="preserve">The URL of the file might not be correct or the network drive may not be connected. Please check both and re-run the file again. </t>
  </si>
  <si>
    <r>
      <t xml:space="preserve">  For instructions on how to map network drive, refer to the instructions from cell </t>
    </r>
    <r>
      <rPr>
        <b/>
        <i/>
        <sz val="11"/>
        <color theme="1"/>
        <rFont val="Aptos Narrow"/>
        <family val="2"/>
        <scheme val="minor"/>
      </rPr>
      <t>M13</t>
    </r>
    <r>
      <rPr>
        <i/>
        <sz val="11"/>
        <color theme="1"/>
        <rFont val="Aptos Narrow"/>
        <family val="2"/>
        <scheme val="minor"/>
      </rPr>
      <t xml:space="preserve">. </t>
    </r>
  </si>
  <si>
    <t>www.google.com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</si>
</sst>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2" tint="-0.49998474074526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8"/>
        <bgColor theme="4"/>
      </patternFill>
    </fill>
    <fill>
      <patternFill patternType="solid">
        <fgColor theme="1" tint="0.499984740745262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vertical="center" wrapText="1"/>
    </xf>
    <xf numFmtId="0" fontId="1" fillId="2" borderId="2" xfId="0" applyFont="1" applyFill="1" applyBorder="1"/>
    <xf numFmtId="0" fontId="1" fillId="2" borderId="1" xfId="0" applyFont="1" applyFill="1" applyBorder="1"/>
    <xf numFmtId="0" fontId="1" fillId="3" borderId="0" xfId="0" applyFont="1" applyFill="1"/>
    <xf numFmtId="0" fontId="1" fillId="4" borderId="0" xfId="0" applyFont="1" applyFill="1"/>
    <xf numFmtId="0" fontId="3" fillId="0" borderId="0" xfId="1"/>
    <xf numFmtId="0" fontId="4" fillId="5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0" xfId="0" applyFont="1"/>
    <xf numFmtId="0" fontId="6" fillId="6" borderId="0" xfId="0" applyFont="1" applyFill="1"/>
    <xf numFmtId="0" fontId="7" fillId="8" borderId="0" xfId="0" applyFont="1" applyFill="1"/>
    <xf numFmtId="0" fontId="4" fillId="8" borderId="0" xfId="0" applyFont="1" applyFill="1"/>
    <xf numFmtId="0" fontId="7" fillId="0" borderId="0" xfId="0" applyFont="1"/>
    <xf numFmtId="0" fontId="7" fillId="9" borderId="0" xfId="0" applyFont="1" applyFill="1" applyAlignment="1">
      <alignment horizontal="left" vertical="center" indent="1"/>
    </xf>
    <xf numFmtId="0" fontId="0" fillId="9" borderId="0" xfId="0" applyFill="1"/>
    <xf numFmtId="0" fontId="9" fillId="10" borderId="0" xfId="0" applyFont="1" applyFill="1"/>
    <xf numFmtId="0" fontId="10" fillId="0" borderId="0" xfId="0" applyFont="1"/>
    <xf numFmtId="0" fontId="0" fillId="10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1" fillId="0" borderId="1" xfId="0" applyFont="1" applyBorder="1"/>
  </cellXfs>
  <cellStyles count="2">
    <cellStyle name="Hyperlink" xfId="1" builtinId="8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2" tint="-9.9978637043366805E-2"/>
        </patternFill>
      </fill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border outline="0">
        <left style="thin">
          <color theme="4" tint="0.39997558519241921"/>
        </left>
      </border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1043517</xdr:colOff>
          <xdr:row>40</xdr:row>
          <xdr:rowOff>91017</xdr:rowOff>
        </xdr:from>
        <xdr:to>
          <xdr:col>2</xdr:col>
          <xdr:colOff>2218267</xdr:colOff>
          <xdr:row>44</xdr:row>
          <xdr:rowOff>167217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Run VBA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133350</xdr:colOff>
      <xdr:row>15</xdr:row>
      <xdr:rowOff>69850</xdr:rowOff>
    </xdr:from>
    <xdr:to>
      <xdr:col>16</xdr:col>
      <xdr:colOff>285749</xdr:colOff>
      <xdr:row>27</xdr:row>
      <xdr:rowOff>111366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55400" y="2857500"/>
          <a:ext cx="2590799" cy="2251316"/>
        </a:xfrm>
        <a:prstGeom prst="rect">
          <a:avLst/>
        </a:prstGeom>
      </xdr:spPr>
    </xdr:pic>
    <xdr:clientData/>
  </xdr:twoCellAnchor>
  <xdr:twoCellAnchor editAs="oneCell">
    <xdr:from>
      <xdr:col>12</xdr:col>
      <xdr:colOff>138289</xdr:colOff>
      <xdr:row>31</xdr:row>
      <xdr:rowOff>46359</xdr:rowOff>
    </xdr:from>
    <xdr:to>
      <xdr:col>16</xdr:col>
      <xdr:colOff>366889</xdr:colOff>
      <xdr:row>42</xdr:row>
      <xdr:rowOff>98419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39511" y="5937748"/>
          <a:ext cx="2655711" cy="2069948"/>
        </a:xfrm>
        <a:prstGeom prst="rect">
          <a:avLst/>
        </a:prstGeom>
      </xdr:spPr>
    </xdr:pic>
    <xdr:clientData/>
  </xdr:twoCellAnchor>
  <xdr:twoCellAnchor editAs="oneCell">
    <xdr:from>
      <xdr:col>0</xdr:col>
      <xdr:colOff>451556</xdr:colOff>
      <xdr:row>16</xdr:row>
      <xdr:rowOff>42334</xdr:rowOff>
    </xdr:from>
    <xdr:to>
      <xdr:col>2</xdr:col>
      <xdr:colOff>1104195</xdr:colOff>
      <xdr:row>18</xdr:row>
      <xdr:rowOff>63340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1556" y="3365501"/>
          <a:ext cx="3841750" cy="387895"/>
        </a:xfrm>
        <a:prstGeom prst="rect">
          <a:avLst/>
        </a:prstGeom>
      </xdr:spPr>
    </xdr:pic>
    <xdr:clientData/>
  </xdr:twoCellAnchor>
  <xdr:twoCellAnchor>
    <xdr:from>
      <xdr:col>1</xdr:col>
      <xdr:colOff>536222</xdr:colOff>
      <xdr:row>52</xdr:row>
      <xdr:rowOff>359834</xdr:rowOff>
    </xdr:from>
    <xdr:to>
      <xdr:col>1</xdr:col>
      <xdr:colOff>1968500</xdr:colOff>
      <xdr:row>52</xdr:row>
      <xdr:rowOff>1629699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7410" y="9900709"/>
          <a:ext cx="1432278" cy="12698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214313</xdr:colOff>
      <xdr:row>53</xdr:row>
      <xdr:rowOff>595312</xdr:rowOff>
    </xdr:from>
    <xdr:to>
      <xdr:col>2</xdr:col>
      <xdr:colOff>2081213</xdr:colOff>
      <xdr:row>53</xdr:row>
      <xdr:rowOff>1262062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1" y="11795125"/>
          <a:ext cx="44545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ndy KONG (IRAS)" id="{23068DBA-3DFE-4E46-89BA-5086476C7DEE}" userId="S::Mandy_KONG@iras.gov.sg::0655fdd9-94aa-4ee1-8383-89a0bba4137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9A5A46-5394-4EE3-B0CC-02E1436DBBD3}" name="Table13" displayName="Table13" ref="A1:C15" totalsRowShown="0" headerRowDxfId="13" dataDxfId="12">
  <autoFilter ref="A1:C15" xr:uid="{409A5A46-5394-4EE3-B0CC-02E1436DBBD3}"/>
  <sortState xmlns:xlrd2="http://schemas.microsoft.com/office/spreadsheetml/2017/richdata2" ref="A2:C15">
    <sortCondition ref="A1:A28"/>
  </sortState>
  <tableColumns count="3">
    <tableColumn id="1" xr3:uid="{F4544AF1-8FCC-49E2-B27A-092E042D8450}" name="Classification"/>
    <tableColumn id="2" xr3:uid="{AD7BC0DC-2937-4DBA-8C06-1BAB31211C27}" name="Label" dataDxfId="11"/>
    <tableColumn id="4" xr3:uid="{1A8E2675-B23A-42FF-8940-F55D4A03EE56}" name="ID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B3B4A1-842E-4B72-8D87-D24466EDBA5B}" name="Table3" displayName="Table3" ref="B22:C23" totalsRowShown="0">
  <autoFilter ref="B22:C23" xr:uid="{21B3B4A1-842E-4B72-8D87-D24466EDBA5B}"/>
  <tableColumns count="2">
    <tableColumn id="1" xr3:uid="{CF32E7DD-22BE-47B9-8698-B69FBFE75247}" name="Folder Path"/>
    <tableColumn id="2" xr3:uid="{A28F3E5C-89C4-4FB0-8A19-9FEFCB3B37E8}" name="iNex Site" dataCellStyle="Hyperlink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0B713E-2AAE-444F-9FF7-743184F22E57}" name="Table1" displayName="Table1" ref="B51:C55" totalsRowShown="0" headerRowDxfId="9">
  <autoFilter ref="B51:C55" xr:uid="{FA0B713E-2AAE-444F-9FF7-743184F22E57}"/>
  <tableColumns count="2">
    <tableColumn id="1" xr3:uid="{45BE3CDE-B0D7-40A9-811B-423C4A9FF279}" name="Pop Ups"/>
    <tableColumn id="2" xr3:uid="{AAE87B1B-A16E-42C5-9530-FB6E9B0C11BE}" name="Why and What should you do?" dataDxfId="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B8A3B4-E309-4AE2-BE3B-14E82F690056}" name="Table4" displayName="Table4" ref="A1:Q2" totalsRowShown="0" tableBorderDxfId="7">
  <autoFilter ref="A1:Q2" xr:uid="{C1B8A3B4-E309-4AE2-BE3B-14E82F690056}"/>
  <tableColumns count="17">
    <tableColumn id="1" xr3:uid="{547BC98E-EECD-4816-A2E5-AEE687BB94A0}" name="GivenUrl" dataCellStyle="Hyperlink"/>
    <tableColumn id="2" xr3:uid="{EA660421-59EC-4FE1-8367-6CB08E5B8E42}" name="FileName" dataCellStyle="Hyperlink"/>
    <tableColumn id="3" xr3:uid="{FA0836CE-B163-4777-9012-7806D69DA76A}" name="IsLableled"/>
    <tableColumn id="4" xr3:uid="{8969CD48-8C68-4977-B3D8-87C575A0FEE8}" name="MainLabel"/>
    <tableColumn id="5" xr3:uid="{31E020CC-050D-4DCD-A456-6EEF2536E5B1}" name="SubLabelName"/>
    <tableColumn id="6" xr3:uid="{945E2151-CCBF-4CAE-8683-8366C9F78B9E}" name="FileSize"/>
    <tableColumn id="7" xr3:uid="{4C73D2C2-32E3-438E-8E1B-45E79A61921A}" name="Owner"/>
    <tableColumn id="8" xr3:uid="{67D2344D-269F-4E9D-8401-06208DAE00C8}" name="IsUnreadable"/>
    <tableColumn id="9" xr3:uid="{D5B1E0FF-B7C2-4DF1-8163-3F085204FC31}" name="Remarks"/>
    <tableColumn id="10" xr3:uid="{AEF5EC04-F9CD-476C-9D93-87C6B8344072}" name="Ownership"/>
    <tableColumn id="11" xr3:uid="{E8BBFD93-44B9-446D-90E5-43181450532C}" name="Owners"/>
    <tableColumn id="12" xr3:uid="{02B8908D-0904-4F6A-A17C-06B354AC10A8}" name="MappedNetworkURL" dataDxfId="6">
      <calculatedColumnFormula>SUBSTITUTE(SUBSTITUTE(Table4[[#This Row],[FileName]],Table4[[#This Row],[GivenUrl]],_xlfn.XLOOKUP(Table4[[#This Row],[GivenUrl]],Table3[iNex Site],Table3[Folder Path])),"/","\")</calculatedColumnFormula>
    </tableColumn>
    <tableColumn id="16" xr3:uid="{C05C2E99-6506-443B-A4F2-EB31F4D967BB}" name="Action" dataDxfId="5"/>
    <tableColumn id="13" xr3:uid="{45283E2C-4AE7-4268-8573-B40969172FCC}" name="New MainLabel" dataDxfId="4"/>
    <tableColumn id="14" xr3:uid="{3EA9F21F-AC26-49C5-99B8-CD03BE9F0684}" name="New SubLabelName" dataDxfId="3"/>
    <tableColumn id="15" xr3:uid="{717FE4D0-0A6B-4706-826B-5FFB047EF743}" name="New LabelID" dataDxfId="2">
      <calculatedColumnFormula array="1">IFERROR(_xlfn.XLOOKUP(1,(Table13[Classification]=Table4[[#This Row],[New MainLabel]])*(Table13[Label]=Table4[[#This Row],[New SubLabelName]]),Table13[ID]),"")</calculatedColumnFormula>
    </tableColumn>
    <tableColumn id="17" xr3:uid="{AD6A5EAC-856F-4D1D-94C0-04EC977F7CCD}" name="Action Done?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7" dT="2025-09-08T08:34:21.10" personId="{23068DBA-3DFE-4E46-89BA-5086476C7DEE}" id="{429B1FFF-A189-4A5F-B945-295AED1AA13F}">
    <text>Please change to your document folder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431AB-3C0E-443F-AD85-36A3588B110B}">
  <sheetPr codeName="Sheet1"/>
  <dimension ref="A1:O15"/>
  <sheetViews>
    <sheetView zoomScale="130" zoomScaleNormal="130" workbookViewId="0">
      <selection activeCell="C14" sqref="C14"/>
    </sheetView>
  </sheetViews>
  <sheetFormatPr defaultRowHeight="14.5" x14ac:dyDescent="0.35"/>
  <cols>
    <col min="1" max="3" width="41.1796875" customWidth="1"/>
    <col min="6" max="9" width="0" hidden="1" customWidth="1"/>
    <col min="10" max="15" width="19.26953125" hidden="1" customWidth="1"/>
  </cols>
  <sheetData>
    <row r="1" spans="1:15" x14ac:dyDescent="0.35">
      <c r="A1" s="1" t="s">
        <v>0</v>
      </c>
      <c r="B1" s="1" t="s">
        <v>1</v>
      </c>
      <c r="C1" s="1" t="s">
        <v>2</v>
      </c>
    </row>
    <row r="2" spans="1:15" x14ac:dyDescent="0.35">
      <c r="A2" t="s">
        <v>3</v>
      </c>
      <c r="B2" s="2" t="s">
        <v>4</v>
      </c>
      <c r="C2" s="2" t="s">
        <v>5</v>
      </c>
      <c r="F2" t="str" cm="1">
        <f t="array" ref="F2:F7">_xlfn.UNIQUE(Table13[Classification])</f>
        <v>Confidential</v>
      </c>
      <c r="G2" t="str" cm="1">
        <f t="array" ref="G2:G15">_xlfn.UNIQUE(Table13[Label])</f>
        <v>Non Sensitive_1</v>
      </c>
      <c r="O2" t="s">
        <v>55</v>
      </c>
    </row>
    <row r="3" spans="1:15" x14ac:dyDescent="0.35">
      <c r="A3" t="s">
        <v>3</v>
      </c>
      <c r="B3" s="2" t="s">
        <v>6</v>
      </c>
      <c r="C3" s="2" t="s">
        <v>7</v>
      </c>
      <c r="F3" t="str">
        <v>Confidential (Cloud-Eligible)</v>
      </c>
      <c r="G3" t="str">
        <v>Sensitive Normal_0</v>
      </c>
      <c r="O3" t="s">
        <v>56</v>
      </c>
    </row>
    <row r="4" spans="1:15" x14ac:dyDescent="0.35">
      <c r="A4" t="s">
        <v>3</v>
      </c>
      <c r="B4" s="2" t="s">
        <v>8</v>
      </c>
      <c r="C4" s="2" t="s">
        <v>9</v>
      </c>
      <c r="F4" t="str">
        <v>Official (Closed)</v>
      </c>
      <c r="G4" t="str">
        <v>Sensitive High_0</v>
      </c>
    </row>
    <row r="5" spans="1:15" x14ac:dyDescent="0.35">
      <c r="A5" t="s">
        <v>10</v>
      </c>
      <c r="B5" s="2" t="s">
        <v>11</v>
      </c>
      <c r="C5" s="2" t="s">
        <v>12</v>
      </c>
      <c r="F5" t="str">
        <v>Official (Open)</v>
      </c>
      <c r="G5" t="str">
        <v>Non Sensitive_3</v>
      </c>
    </row>
    <row r="6" spans="1:15" x14ac:dyDescent="0.35">
      <c r="A6" t="s">
        <v>10</v>
      </c>
      <c r="B6" s="2" t="s">
        <v>13</v>
      </c>
      <c r="C6" s="2" t="s">
        <v>14</v>
      </c>
      <c r="F6" t="str">
        <v>Restricted</v>
      </c>
      <c r="G6" t="str">
        <v>Sensitive High_3</v>
      </c>
    </row>
    <row r="7" spans="1:15" x14ac:dyDescent="0.35">
      <c r="A7" t="s">
        <v>10</v>
      </c>
      <c r="B7" s="2" t="s">
        <v>15</v>
      </c>
      <c r="C7" s="2" t="s">
        <v>16</v>
      </c>
      <c r="F7">
        <v>0</v>
      </c>
      <c r="G7" t="str">
        <v>Sensitive Normal_3</v>
      </c>
    </row>
    <row r="8" spans="1:15" x14ac:dyDescent="0.35">
      <c r="A8" t="s">
        <v>17</v>
      </c>
      <c r="B8" s="2" t="s">
        <v>18</v>
      </c>
      <c r="C8" s="2" t="s">
        <v>19</v>
      </c>
      <c r="G8" t="str">
        <v>Non Sensitive</v>
      </c>
      <c r="J8" t="str" cm="1">
        <f t="array" ref="J8:O8">TRANSPOSE(_xlfn.UNIQUE(Table13[Classification]))</f>
        <v>Confidential</v>
      </c>
      <c r="K8" t="str">
        <v>Confidential (Cloud-Eligible)</v>
      </c>
      <c r="L8" t="str">
        <v>Official (Closed)</v>
      </c>
      <c r="M8" t="str">
        <v>Official (Open)</v>
      </c>
      <c r="N8" t="str">
        <v>Restricted</v>
      </c>
      <c r="O8">
        <v>0</v>
      </c>
    </row>
    <row r="9" spans="1:15" x14ac:dyDescent="0.35">
      <c r="A9" t="s">
        <v>17</v>
      </c>
      <c r="B9" s="2" t="s">
        <v>20</v>
      </c>
      <c r="C9" s="2" t="s">
        <v>21</v>
      </c>
      <c r="G9" t="str">
        <v>Sensitive Normal_1</v>
      </c>
      <c r="J9" t="str" cm="1">
        <f t="array" ref="J9:J11">_xlfn.CHOOSECOLS(_xlfn._xlws.FILTER(Table13[],Table13[Classification]=J$8),2)</f>
        <v>Non Sensitive_1</v>
      </c>
      <c r="K9" t="str" cm="1">
        <f t="array" ref="K9:K11">_xlfn.CHOOSECOLS(_xlfn._xlws.FILTER(Table13[],Table13[Classification]=K$8),2)</f>
        <v>Non Sensitive_3</v>
      </c>
      <c r="L9" t="str" cm="1">
        <f t="array" ref="L9:L11">_xlfn.CHOOSECOLS(_xlfn._xlws.FILTER(Table13[],Table13[Classification]=L$8),2)</f>
        <v>Non Sensitive</v>
      </c>
      <c r="M9" t="str" cm="1">
        <f t="array" ref="M9">_xlfn.CHOOSECOLS(_xlfn._xlws.FILTER(Table13[],Table13[Classification]=M$8),2)</f>
        <v>Official (Open)</v>
      </c>
      <c r="N9" t="str" cm="1">
        <f t="array" ref="N9:N11">_xlfn.CHOOSECOLS(_xlfn._xlws.FILTER(Table13[],Table13[Classification]=N$8),2)</f>
        <v>Sensitive Normal</v>
      </c>
      <c r="O9" cm="1">
        <f t="array" ref="O9">_xlfn.CHOOSECOLS(_xlfn._xlws.FILTER(Table13[],Table13[Classification]=O$8),2)</f>
        <v>0</v>
      </c>
    </row>
    <row r="10" spans="1:15" x14ac:dyDescent="0.35">
      <c r="A10" t="s">
        <v>17</v>
      </c>
      <c r="B10" s="2" t="s">
        <v>22</v>
      </c>
      <c r="C10" s="2" t="s">
        <v>23</v>
      </c>
      <c r="G10" t="str">
        <v>Sensitive High_1</v>
      </c>
      <c r="J10" t="str">
        <v>Sensitive Normal_0</v>
      </c>
      <c r="K10" t="str">
        <v>Sensitive High_3</v>
      </c>
      <c r="L10" t="str">
        <v>Sensitive Normal_1</v>
      </c>
      <c r="N10" t="str">
        <v>Non Sensitive_0</v>
      </c>
    </row>
    <row r="11" spans="1:15" x14ac:dyDescent="0.35">
      <c r="A11" t="s">
        <v>24</v>
      </c>
      <c r="B11" s="2" t="s">
        <v>24</v>
      </c>
      <c r="C11" s="2" t="s">
        <v>25</v>
      </c>
      <c r="G11" t="str">
        <v>Official (Open)</v>
      </c>
      <c r="J11" t="str">
        <v>Sensitive High_0</v>
      </c>
      <c r="K11" t="str">
        <v>Sensitive Normal_3</v>
      </c>
      <c r="L11" t="str">
        <v>Sensitive High_1</v>
      </c>
      <c r="N11" t="str">
        <v>Sensitive High</v>
      </c>
    </row>
    <row r="12" spans="1:15" x14ac:dyDescent="0.35">
      <c r="A12" t="s">
        <v>26</v>
      </c>
      <c r="B12" s="2" t="s">
        <v>27</v>
      </c>
      <c r="C12" s="2" t="s">
        <v>28</v>
      </c>
      <c r="G12" t="str">
        <v>Sensitive Normal</v>
      </c>
    </row>
    <row r="13" spans="1:15" x14ac:dyDescent="0.35">
      <c r="A13" t="s">
        <v>26</v>
      </c>
      <c r="B13" s="2" t="s">
        <v>29</v>
      </c>
      <c r="C13" s="2" t="s">
        <v>30</v>
      </c>
      <c r="G13" t="str">
        <v>Non Sensitive_0</v>
      </c>
    </row>
    <row r="14" spans="1:15" x14ac:dyDescent="0.35">
      <c r="A14" t="s">
        <v>26</v>
      </c>
      <c r="B14" s="2" t="s">
        <v>31</v>
      </c>
      <c r="C14" s="2" t="s">
        <v>32</v>
      </c>
      <c r="G14" t="str">
        <v>Sensitive High</v>
      </c>
    </row>
    <row r="15" spans="1:15" x14ac:dyDescent="0.35">
      <c r="C15" s="2" t="s">
        <v>33</v>
      </c>
      <c r="G15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BDA0-6465-4F0C-9089-1C076EAA6548}">
  <sheetPr codeName="Sheet2"/>
  <dimension ref="A1:V59"/>
  <sheetViews>
    <sheetView tabSelected="1" topLeftCell="A44" zoomScale="120" zoomScaleNormal="120" workbookViewId="0">
      <selection activeCell="G53" sqref="G53"/>
    </sheetView>
  </sheetViews>
  <sheetFormatPr defaultRowHeight="14.5" x14ac:dyDescent="0.35"/>
  <cols>
    <col min="2" max="2" width="37" customWidth="1"/>
    <col min="3" max="3" width="65.26953125" customWidth="1"/>
  </cols>
  <sheetData>
    <row r="1" spans="1:22" s="11" customFormat="1" ht="23.5" x14ac:dyDescent="0.55000000000000004">
      <c r="A1" s="14" t="s">
        <v>60</v>
      </c>
    </row>
    <row r="2" spans="1:22" s="11" customFormat="1" x14ac:dyDescent="0.35">
      <c r="A2" s="15" t="s">
        <v>61</v>
      </c>
    </row>
    <row r="4" spans="1:22" ht="23.5" x14ac:dyDescent="0.55000000000000004">
      <c r="A4" s="16" t="s">
        <v>63</v>
      </c>
    </row>
    <row r="5" spans="1:22" x14ac:dyDescent="0.35">
      <c r="A5" t="s">
        <v>64</v>
      </c>
    </row>
    <row r="6" spans="1:22" x14ac:dyDescent="0.35">
      <c r="A6" t="s">
        <v>62</v>
      </c>
    </row>
    <row r="7" spans="1:22" x14ac:dyDescent="0.35">
      <c r="A7" t="s">
        <v>65</v>
      </c>
    </row>
    <row r="8" spans="1:22" x14ac:dyDescent="0.35">
      <c r="A8" t="s">
        <v>88</v>
      </c>
    </row>
    <row r="9" spans="1:22" x14ac:dyDescent="0.35">
      <c r="A9" t="s">
        <v>66</v>
      </c>
    </row>
    <row r="12" spans="1:22" ht="23.5" x14ac:dyDescent="0.35">
      <c r="A12" s="17" t="s">
        <v>67</v>
      </c>
      <c r="B12" s="18"/>
      <c r="C12" s="18"/>
      <c r="D12" s="18"/>
      <c r="E12" s="18"/>
      <c r="F12" s="18"/>
      <c r="G12" s="18"/>
      <c r="H12" s="18"/>
      <c r="I12" s="18"/>
    </row>
    <row r="13" spans="1:22" ht="18.5" x14ac:dyDescent="0.45">
      <c r="A13" s="1" t="s">
        <v>77</v>
      </c>
      <c r="M13" s="19" t="s">
        <v>69</v>
      </c>
      <c r="N13" s="21"/>
      <c r="O13" s="21"/>
      <c r="P13" s="21"/>
      <c r="Q13" s="21"/>
      <c r="R13" s="21"/>
      <c r="S13" s="21"/>
      <c r="T13" s="21"/>
      <c r="U13" s="21"/>
      <c r="V13" s="21"/>
    </row>
    <row r="14" spans="1:22" x14ac:dyDescent="0.35">
      <c r="A14" s="12" t="s">
        <v>97</v>
      </c>
      <c r="M14" t="s">
        <v>70</v>
      </c>
    </row>
    <row r="15" spans="1:22" x14ac:dyDescent="0.35">
      <c r="M15" t="s">
        <v>71</v>
      </c>
    </row>
    <row r="16" spans="1:22" x14ac:dyDescent="0.35">
      <c r="A16" s="1" t="s">
        <v>68</v>
      </c>
    </row>
    <row r="20" spans="1:13" x14ac:dyDescent="0.35">
      <c r="A20" s="1" t="s">
        <v>74</v>
      </c>
    </row>
    <row r="21" spans="1:13" x14ac:dyDescent="0.35">
      <c r="A21" s="12" t="s">
        <v>75</v>
      </c>
    </row>
    <row r="22" spans="1:13" x14ac:dyDescent="0.35">
      <c r="B22" t="s">
        <v>34</v>
      </c>
      <c r="C22" t="s">
        <v>35</v>
      </c>
    </row>
    <row r="23" spans="1:13" x14ac:dyDescent="0.35">
      <c r="B23" t="s">
        <v>59</v>
      </c>
      <c r="C23" s="7" t="s">
        <v>98</v>
      </c>
    </row>
    <row r="24" spans="1:13" x14ac:dyDescent="0.35">
      <c r="C24" s="7"/>
    </row>
    <row r="27" spans="1:13" x14ac:dyDescent="0.35">
      <c r="B27" s="1" t="s">
        <v>52</v>
      </c>
      <c r="C27" s="8" t="s">
        <v>53</v>
      </c>
    </row>
    <row r="28" spans="1:13" x14ac:dyDescent="0.35">
      <c r="A28" s="1" t="s">
        <v>76</v>
      </c>
      <c r="B28" s="1"/>
      <c r="C28" s="12"/>
    </row>
    <row r="29" spans="1:13" x14ac:dyDescent="0.35">
      <c r="B29" s="1"/>
      <c r="C29" s="12"/>
    </row>
    <row r="30" spans="1:13" x14ac:dyDescent="0.35">
      <c r="C30" s="12"/>
      <c r="D30" s="20" t="s">
        <v>58</v>
      </c>
    </row>
    <row r="31" spans="1:13" x14ac:dyDescent="0.35">
      <c r="E31" s="12"/>
      <c r="M31" t="s">
        <v>72</v>
      </c>
    </row>
    <row r="32" spans="1:13" x14ac:dyDescent="0.35">
      <c r="A32" s="1" t="s">
        <v>78</v>
      </c>
      <c r="E32" s="12"/>
    </row>
    <row r="33" spans="1:13" x14ac:dyDescent="0.35">
      <c r="A33" s="12" t="s">
        <v>79</v>
      </c>
      <c r="E33" s="12"/>
    </row>
    <row r="35" spans="1:13" x14ac:dyDescent="0.35">
      <c r="A35" s="1" t="s">
        <v>80</v>
      </c>
    </row>
    <row r="36" spans="1:13" x14ac:dyDescent="0.35">
      <c r="A36" s="12" t="s">
        <v>82</v>
      </c>
    </row>
    <row r="37" spans="1:13" x14ac:dyDescent="0.35">
      <c r="A37" s="12" t="s">
        <v>83</v>
      </c>
    </row>
    <row r="38" spans="1:13" x14ac:dyDescent="0.35">
      <c r="A38" s="1"/>
    </row>
    <row r="39" spans="1:13" x14ac:dyDescent="0.35">
      <c r="A39" s="1" t="s">
        <v>81</v>
      </c>
    </row>
    <row r="46" spans="1:13" x14ac:dyDescent="0.35">
      <c r="M46" t="s">
        <v>73</v>
      </c>
    </row>
    <row r="49" spans="1:3" x14ac:dyDescent="0.35">
      <c r="A49" s="1" t="s">
        <v>86</v>
      </c>
    </row>
    <row r="51" spans="1:3" x14ac:dyDescent="0.35">
      <c r="B51" s="1" t="s">
        <v>84</v>
      </c>
      <c r="C51" s="1" t="s">
        <v>85</v>
      </c>
    </row>
    <row r="52" spans="1:3" ht="43.5" x14ac:dyDescent="0.35">
      <c r="B52" s="25" t="s">
        <v>93</v>
      </c>
      <c r="C52" s="2" t="s">
        <v>94</v>
      </c>
    </row>
    <row r="53" spans="1:3" ht="130.5" x14ac:dyDescent="0.35">
      <c r="B53" s="23" t="s">
        <v>89</v>
      </c>
      <c r="C53" s="22" t="s">
        <v>90</v>
      </c>
    </row>
    <row r="54" spans="1:3" ht="123.65" customHeight="1" x14ac:dyDescent="0.35">
      <c r="B54" s="24" t="s">
        <v>91</v>
      </c>
      <c r="C54" s="23" t="s">
        <v>92</v>
      </c>
    </row>
    <row r="55" spans="1:3" ht="29" x14ac:dyDescent="0.35">
      <c r="B55" s="24" t="s">
        <v>95</v>
      </c>
      <c r="C55" s="23" t="s">
        <v>96</v>
      </c>
    </row>
    <row r="59" spans="1:3" x14ac:dyDescent="0.35">
      <c r="A59" s="1" t="s">
        <v>87</v>
      </c>
    </row>
  </sheetData>
  <hyperlinks>
    <hyperlink ref="C23" r:id="rId1" xr:uid="{3CC512F9-618F-4D77-8293-74C66E97DC09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ocessFiles1">
                <anchor moveWithCells="1" sizeWithCells="1">
                  <from>
                    <xdr:col>1</xdr:col>
                    <xdr:colOff>1041400</xdr:colOff>
                    <xdr:row>40</xdr:row>
                    <xdr:rowOff>88900</xdr:rowOff>
                  </from>
                  <to>
                    <xdr:col>2</xdr:col>
                    <xdr:colOff>2216150</xdr:colOff>
                    <xdr:row>44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EB63-454F-42C5-BD70-41270D66D94E}">
  <sheetPr codeName="Sheet3"/>
  <dimension ref="A1:Q2"/>
  <sheetViews>
    <sheetView topLeftCell="C1" zoomScale="78" zoomScaleNormal="78" zoomScaleSheetLayoutView="50" workbookViewId="0">
      <selection activeCell="P2" sqref="P2"/>
    </sheetView>
  </sheetViews>
  <sheetFormatPr defaultRowHeight="14.5" x14ac:dyDescent="0.35"/>
  <cols>
    <col min="1" max="1" width="43.7265625" customWidth="1"/>
    <col min="2" max="2" width="88.453125" customWidth="1"/>
    <col min="3" max="4" width="11.453125" customWidth="1"/>
    <col min="5" max="10" width="9.26953125" customWidth="1"/>
    <col min="11" max="11" width="50.26953125" customWidth="1"/>
    <col min="12" max="12" width="60" bestFit="1" customWidth="1"/>
    <col min="13" max="13" width="30" customWidth="1"/>
    <col min="14" max="14" width="32.1796875" customWidth="1"/>
    <col min="15" max="15" width="21.26953125" bestFit="1" customWidth="1"/>
    <col min="16" max="16" width="35.81640625" bestFit="1" customWidth="1"/>
    <col min="17" max="17" width="14.1796875" bestFit="1" customWidth="1"/>
  </cols>
  <sheetData>
    <row r="1" spans="1:17" ht="15.65" customHeight="1" x14ac:dyDescent="0.35">
      <c r="A1" s="4" t="s">
        <v>36</v>
      </c>
      <c r="B1" s="26" t="s">
        <v>37</v>
      </c>
      <c r="C1" s="4" t="s">
        <v>38</v>
      </c>
      <c r="D1" s="4" t="s">
        <v>39</v>
      </c>
      <c r="E1" s="4" t="s">
        <v>40</v>
      </c>
      <c r="F1" s="4" t="s">
        <v>41</v>
      </c>
      <c r="G1" s="4" t="s">
        <v>42</v>
      </c>
      <c r="H1" s="4" t="s">
        <v>43</v>
      </c>
      <c r="I1" s="4" t="s">
        <v>44</v>
      </c>
      <c r="J1" s="4" t="s">
        <v>45</v>
      </c>
      <c r="K1" s="3" t="s">
        <v>46</v>
      </c>
      <c r="L1" s="6" t="s">
        <v>47</v>
      </c>
      <c r="M1" s="5" t="s">
        <v>54</v>
      </c>
      <c r="N1" s="5" t="s">
        <v>49</v>
      </c>
      <c r="O1" s="5" t="s">
        <v>50</v>
      </c>
      <c r="P1" s="6" t="s">
        <v>51</v>
      </c>
      <c r="Q1" s="10" t="s">
        <v>57</v>
      </c>
    </row>
    <row r="2" spans="1:17" x14ac:dyDescent="0.35">
      <c r="A2" s="7"/>
      <c r="B2" s="7"/>
      <c r="L2" s="11" t="e">
        <f>SUBSTITUTE(SUBSTITUTE(Table4[[#This Row],[FileName]],Table4[[#This Row],[GivenUrl]],_xlfn.XLOOKUP(Table4[[#This Row],[GivenUrl]],Table3[iNex Site],Table3[Folder Path])),"/","\")</f>
        <v>#N/A</v>
      </c>
      <c r="M2" s="9"/>
      <c r="N2" s="9"/>
      <c r="O2" s="13"/>
      <c r="P2" s="11" t="str" cm="1">
        <f t="array" ref="P2">IFERROR(_xlfn.XLOOKUP(1,(Table13[Classification]=Table4[[#This Row],[New MainLabel]])*(Table13[Label]=Table4[[#This Row],[New SubLabelName]]),Table13[ID]),"")</f>
        <v>No MSIP label found</v>
      </c>
      <c r="Q2" s="11" t="s">
        <v>48</v>
      </c>
    </row>
  </sheetData>
  <phoneticPr fontId="5" type="noConversion"/>
  <conditionalFormatting sqref="B3:B1048576 B1">
    <cfRule type="duplicateValues" dxfId="0" priority="3"/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3C19D7-4521-4D6F-8A32-67C71ECE9995}">
          <x14:formula1>
            <xm:f>_xlfn.ANCHORARRAY(Classification!$F$2)</xm:f>
          </x14:formula1>
          <xm:sqref>N2</xm:sqref>
        </x14:dataValidation>
        <x14:dataValidation type="list" allowBlank="1" showInputMessage="1" showErrorMessage="1" xr:uid="{40721E03-E20E-462B-8018-186A514AD5EB}">
          <x14:formula1>
            <xm:f>Classification!$O$2:$O$3</xm:f>
          </x14:formula1>
          <xm:sqref>M2</xm:sqref>
        </x14:dataValidation>
        <x14:dataValidation type="list" allowBlank="1" showInputMessage="1" showErrorMessage="1" xr:uid="{9CAAC538-F87C-4D40-AB8E-07F76367DD40}">
          <x14:formula1>
            <xm:f>INDIRECT(ADDRESS(9,COLUMN(Classification!I13)+MATCH(N2,_xlfn.ANCHORARRAY( Classification!$J$8),0),4,1,"Classification")&amp;"#")</xm:f>
          </x14:formula1>
          <xm:sqref>O2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Classification</vt:lpstr>
      <vt:lpstr>FolderPath</vt:lpstr>
      <vt:lpstr>FilesToBeClassified</vt:lpstr>
      <vt:lpstr>temppath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Mandy KONG (IRAS)</dc:creator>
  <cp:lastModifiedBy>Mandy KONG (IRAS)</cp:lastModifiedBy>
  <dcterms:created xsi:type="dcterms:W3CDTF">2025-09-08T08:11:17Z</dcterms:created>
  <dcterms:modified xsi:type="dcterms:W3CDTF">2025-10-27T13:39:26Z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0f46e1-5fba-47ae-991f-a0785d9c0dac_Enabled">
    <vt:lpwstr>true</vt:lpwstr>
  </property>
  <property fmtid="{D5CDD505-2E9C-101B-9397-08002B2CF9AE}" pid="3" name="MSIP_Label_770f46e1-5fba-47ae-991f-a0785d9c0dac_SetDate">
    <vt:lpwstr>2025-09-09T02:25:55Z</vt:lpwstr>
  </property>
  <property fmtid="{D5CDD505-2E9C-101B-9397-08002B2CF9AE}" pid="4" name="MSIP_Label_770f46e1-5fba-47ae-991f-a0785d9c0dac_Method">
    <vt:lpwstr>Privileged</vt:lpwstr>
  </property>
  <property fmtid="{D5CDD505-2E9C-101B-9397-08002B2CF9AE}" pid="5" name="MSIP_Label_770f46e1-5fba-47ae-991f-a0785d9c0dac_Name">
    <vt:lpwstr>Sensitive Normal_1</vt:lpwstr>
  </property>
  <property fmtid="{D5CDD505-2E9C-101B-9397-08002B2CF9AE}" pid="6" name="MSIP_Label_770f46e1-5fba-47ae-991f-a0785d9c0dac_SiteId">
    <vt:lpwstr>0b11c524-9a1c-4e1b-84cb-6336aefc2243</vt:lpwstr>
  </property>
  <property fmtid="{D5CDD505-2E9C-101B-9397-08002B2CF9AE}" pid="7" name="MSIP_Label_770f46e1-5fba-47ae-991f-a0785d9c0dac_ActionId">
    <vt:lpwstr>25579194-e327-4560-9d2b-298a2c00facf</vt:lpwstr>
  </property>
  <property fmtid="{D5CDD505-2E9C-101B-9397-08002B2CF9AE}" pid="8" name="MSIP_Label_770f46e1-5fba-47ae-991f-a0785d9c0dac_ContentBits">
    <vt:lpwstr>0</vt:lpwstr>
  </property>
  <property fmtid="{D5CDD505-2E9C-101B-9397-08002B2CF9AE}" pid="9" name="MSIP_Label_770f46e1-5fba-47ae-991f-a0785d9c0dac_Tag">
    <vt:lpwstr>10, 0, 1, 1</vt:lpwstr>
  </property>
</Properties>
</file>